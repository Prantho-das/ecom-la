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lah\Desktop\"/>
    </mc:Choice>
  </mc:AlternateContent>
  <xr:revisionPtr revIDLastSave="0" documentId="13_ncr:1_{CB08B046-7FD8-4F82-9285-65784B14E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7" r:id="rId1"/>
    <sheet name="Terms 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7" l="1"/>
  <c r="S42" i="7" s="1"/>
  <c r="H41" i="7"/>
  <c r="G41" i="7"/>
  <c r="F41" i="7"/>
  <c r="E41" i="7"/>
  <c r="L41" i="7" s="1"/>
  <c r="M41" i="7" s="1"/>
  <c r="O41" i="7" s="1"/>
  <c r="S41" i="7" s="1"/>
  <c r="D41" i="7"/>
  <c r="C41" i="7"/>
  <c r="H40" i="7"/>
  <c r="G40" i="7"/>
  <c r="F40" i="7"/>
  <c r="M40" i="7" s="1"/>
  <c r="O40" i="7" s="1"/>
  <c r="S40" i="7" s="1"/>
  <c r="E40" i="7"/>
  <c r="D40" i="7"/>
  <c r="C40" i="7"/>
  <c r="G39" i="7"/>
  <c r="F39" i="7"/>
  <c r="M39" i="7" s="1"/>
  <c r="O39" i="7" s="1"/>
  <c r="S39" i="7" s="1"/>
  <c r="E39" i="7"/>
  <c r="D39" i="7"/>
  <c r="C39" i="7"/>
  <c r="G38" i="7"/>
  <c r="F38" i="7"/>
  <c r="M38" i="7" s="1"/>
  <c r="O38" i="7" s="1"/>
  <c r="S38" i="7" s="1"/>
  <c r="E38" i="7"/>
  <c r="D38" i="7"/>
  <c r="C38" i="7"/>
  <c r="F37" i="7"/>
  <c r="E37" i="7"/>
  <c r="M37" i="7" s="1"/>
  <c r="O37" i="7" s="1"/>
  <c r="S37" i="7" s="1"/>
  <c r="D37" i="7"/>
  <c r="C37" i="7"/>
  <c r="E36" i="7"/>
  <c r="D36" i="7"/>
  <c r="C36" i="7"/>
  <c r="M36" i="7" s="1"/>
  <c r="O36" i="7" s="1"/>
  <c r="S36" i="7" s="1"/>
  <c r="M35" i="7"/>
  <c r="O35" i="7" s="1"/>
  <c r="S35" i="7" s="1"/>
  <c r="O27" i="7"/>
  <c r="S27" i="7" s="1"/>
  <c r="H26" i="7"/>
  <c r="G26" i="7"/>
  <c r="F26" i="7"/>
  <c r="E26" i="7"/>
  <c r="D26" i="7"/>
  <c r="C26" i="7"/>
  <c r="H25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F22" i="7"/>
  <c r="E22" i="7"/>
  <c r="D22" i="7"/>
  <c r="C22" i="7"/>
  <c r="E21" i="7"/>
  <c r="D21" i="7"/>
  <c r="C21" i="7"/>
  <c r="M20" i="7"/>
  <c r="O20" i="7" s="1"/>
  <c r="S20" i="7" s="1"/>
  <c r="O13" i="7"/>
  <c r="S13" i="7" s="1"/>
  <c r="H12" i="7"/>
  <c r="G12" i="7"/>
  <c r="F12" i="7"/>
  <c r="E12" i="7"/>
  <c r="D12" i="7"/>
  <c r="C12" i="7"/>
  <c r="C11" i="7"/>
  <c r="F11" i="7"/>
  <c r="F10" i="7"/>
  <c r="F9" i="7"/>
  <c r="F8" i="7"/>
  <c r="E11" i="7"/>
  <c r="E10" i="7"/>
  <c r="E9" i="7"/>
  <c r="E8" i="7"/>
  <c r="E7" i="7"/>
  <c r="H11" i="7"/>
  <c r="D10" i="7"/>
  <c r="G11" i="7"/>
  <c r="G10" i="7"/>
  <c r="D11" i="7"/>
  <c r="C10" i="7"/>
  <c r="G9" i="7"/>
  <c r="D9" i="7"/>
  <c r="C9" i="7"/>
  <c r="D8" i="7"/>
  <c r="C8" i="7"/>
  <c r="D7" i="7"/>
  <c r="C7" i="7"/>
  <c r="M6" i="7"/>
  <c r="O6" i="7" s="1"/>
  <c r="S6" i="7" s="1"/>
  <c r="M24" i="7" l="1"/>
  <c r="O24" i="7" s="1"/>
  <c r="S24" i="7" s="1"/>
  <c r="M21" i="7"/>
  <c r="O21" i="7" s="1"/>
  <c r="S21" i="7" s="1"/>
  <c r="M23" i="7"/>
  <c r="O23" i="7" s="1"/>
  <c r="S23" i="7" s="1"/>
  <c r="M22" i="7"/>
  <c r="O22" i="7" s="1"/>
  <c r="S22" i="7" s="1"/>
  <c r="L26" i="7"/>
  <c r="M26" i="7" s="1"/>
  <c r="O26" i="7" s="1"/>
  <c r="S26" i="7" s="1"/>
  <c r="M25" i="7"/>
  <c r="O25" i="7" s="1"/>
  <c r="S25" i="7" s="1"/>
  <c r="L12" i="7"/>
  <c r="M12" i="7" s="1"/>
  <c r="O12" i="7" s="1"/>
  <c r="S12" i="7" s="1"/>
  <c r="M10" i="7"/>
  <c r="O10" i="7" s="1"/>
  <c r="S10" i="7" s="1"/>
  <c r="M11" i="7"/>
  <c r="O11" i="7" s="1"/>
  <c r="S11" i="7" s="1"/>
  <c r="M8" i="7"/>
  <c r="O8" i="7" s="1"/>
  <c r="S8" i="7" s="1"/>
  <c r="M9" i="7"/>
  <c r="O9" i="7" s="1"/>
  <c r="S9" i="7" s="1"/>
  <c r="M7" i="7"/>
  <c r="O7" i="7" s="1"/>
  <c r="S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Abdullah</author>
  </authors>
  <commentList>
    <comment ref="H4" authorId="0" shapeId="0" xr:uid="{597C0151-9D33-46E6-ABFB-24A684F37977}">
      <text>
        <r>
          <rPr>
            <b/>
            <sz val="9"/>
            <color indexed="81"/>
            <rFont val="Tahoma"/>
            <family val="2"/>
          </rPr>
          <t>Abdullah:</t>
        </r>
        <r>
          <rPr>
            <sz val="9"/>
            <color indexed="81"/>
            <rFont val="Tahoma"/>
            <family val="2"/>
          </rPr>
          <t xml:space="preserve">
LC  Declereddeceleration valve</t>
        </r>
      </text>
    </comment>
    <comment ref="H5" authorId="0" shapeId="0" xr:uid="{24855910-135A-4172-8697-CCFECBB000FE}">
      <text>
        <r>
          <rPr>
            <b/>
            <sz val="9"/>
            <color indexed="81"/>
            <rFont val="Tahoma"/>
            <family val="2"/>
          </rPr>
          <t>Abdullah:</t>
        </r>
        <r>
          <rPr>
            <sz val="9"/>
            <color indexed="81"/>
            <rFont val="Tahoma"/>
            <family val="2"/>
          </rPr>
          <t xml:space="preserve">
Original TTI AS GOVT
</t>
        </r>
      </text>
    </comment>
    <comment ref="H18" authorId="0" shapeId="0" xr:uid="{F9DF368B-2A63-462B-9A64-088DEAAB8231}">
      <text>
        <r>
          <rPr>
            <b/>
            <sz val="9"/>
            <color indexed="81"/>
            <rFont val="Tahoma"/>
            <family val="2"/>
          </rPr>
          <t>Abdullah:</t>
        </r>
        <r>
          <rPr>
            <sz val="9"/>
            <color indexed="81"/>
            <rFont val="Tahoma"/>
            <family val="2"/>
          </rPr>
          <t xml:space="preserve">
LC  Declereddeceleration valve</t>
        </r>
      </text>
    </comment>
    <comment ref="H19" authorId="0" shapeId="0" xr:uid="{AC8BC201-30B5-4746-B3D4-71D6FE40A437}">
      <text>
        <r>
          <rPr>
            <b/>
            <sz val="9"/>
            <color indexed="81"/>
            <rFont val="Tahoma"/>
            <family val="2"/>
          </rPr>
          <t>Abdullah:</t>
        </r>
        <r>
          <rPr>
            <sz val="9"/>
            <color indexed="81"/>
            <rFont val="Tahoma"/>
            <family val="2"/>
          </rPr>
          <t xml:space="preserve">
Original TTI AS GOVT
</t>
        </r>
      </text>
    </comment>
    <comment ref="H33" authorId="0" shapeId="0" xr:uid="{643C6240-DF48-49AB-92D7-11119263342C}">
      <text>
        <r>
          <rPr>
            <b/>
            <sz val="9"/>
            <color indexed="81"/>
            <rFont val="Tahoma"/>
            <family val="2"/>
          </rPr>
          <t>Abdullah:</t>
        </r>
        <r>
          <rPr>
            <sz val="9"/>
            <color indexed="81"/>
            <rFont val="Tahoma"/>
            <family val="2"/>
          </rPr>
          <t xml:space="preserve">
LC  Declereddeceleration valve</t>
        </r>
      </text>
    </comment>
    <comment ref="H34" authorId="0" shapeId="0" xr:uid="{25E8F27D-2C71-46B5-A2D1-7E8DC8585E0E}">
      <text>
        <r>
          <rPr>
            <b/>
            <sz val="9"/>
            <color indexed="81"/>
            <rFont val="Tahoma"/>
            <family val="2"/>
          </rPr>
          <t>Abdullah:</t>
        </r>
        <r>
          <rPr>
            <sz val="9"/>
            <color indexed="81"/>
            <rFont val="Tahoma"/>
            <family val="2"/>
          </rPr>
          <t xml:space="preserve">
Original TTI AS GOVT
</t>
        </r>
      </text>
    </comment>
  </commentList>
</comments>
</file>

<file path=xl/sharedStrings.xml><?xml version="1.0" encoding="utf-8"?>
<sst xmlns="http://schemas.openxmlformats.org/spreadsheetml/2006/main" count="89" uniqueCount="39">
  <si>
    <t>Unit Price</t>
  </si>
  <si>
    <t>VAT</t>
  </si>
  <si>
    <t>TAX</t>
  </si>
  <si>
    <r>
      <rPr>
        <b/>
        <i/>
        <u/>
        <sz val="10"/>
        <rFont val="Arial"/>
        <family val="2"/>
      </rPr>
      <t>Terms &amp; Condition:</t>
    </r>
    <r>
      <rPr>
        <i/>
        <sz val="10"/>
        <rFont val="Arial"/>
        <family val="2"/>
      </rPr>
      <t xml:space="preserve">
Payment: 100% advance and balance against irrevocable letter of credit at sight. 
Delivery time: 90 Days form the date of PO.
Warranty: 1 year
Validity: 10 days from the date of quotation.
***Note: Considering todays USD exchange rate. Subjected to metal price adjustment at time of order entry. </t>
    </r>
    <r>
      <rPr>
        <sz val="10"/>
        <rFont val="Arial"/>
        <family val="2"/>
      </rPr>
      <t xml:space="preserve">
</t>
    </r>
  </si>
  <si>
    <r>
      <rPr>
        <b/>
        <i/>
        <u/>
        <sz val="10"/>
        <rFont val="Arial"/>
        <family val="2"/>
      </rPr>
      <t>Terms &amp; Condition:</t>
    </r>
    <r>
      <rPr>
        <i/>
        <sz val="10"/>
        <rFont val="Arial"/>
        <family val="2"/>
      </rPr>
      <t xml:space="preserve">
Payment: 70% advance &amp; rest of amount after successful delivery.
Delivery time: Ready Stock Depend on product availability. 
Warranty: 1 year
Validity: 7 days from the date of quotation.
Vat &amp; Tax: Excluded
***Note: Considering todays USD exchange rate. Subjected to metal price adjustment at time of order entry. </t>
    </r>
    <r>
      <rPr>
        <sz val="10"/>
        <rFont val="Arial"/>
        <family val="2"/>
      </rPr>
      <t xml:space="preserve">
</t>
    </r>
  </si>
  <si>
    <r>
      <rPr>
        <b/>
        <u/>
        <sz val="10"/>
        <rFont val="Arial"/>
        <family val="2"/>
      </rPr>
      <t>Terms &amp; Condition:</t>
    </r>
    <r>
      <rPr>
        <sz val="10"/>
        <rFont val="Arial"/>
        <family val="2"/>
      </rPr>
      <t xml:space="preserve">
Payment: Advance 70% &amp; rest of amount after successful delivery.
Delivery time: 70 Days
Warranty: 1 year   
Validity: 15 days from the date of quotation.
Vat &amp; Tax: Excluding</t>
    </r>
  </si>
  <si>
    <t>Sea Shipment</t>
  </si>
  <si>
    <t>Exwork</t>
  </si>
  <si>
    <t xml:space="preserve">Unit product Price </t>
  </si>
  <si>
    <t>FOB</t>
  </si>
  <si>
    <t>Export clearance (Fees and docs)</t>
  </si>
  <si>
    <t>International freight (Sea/Air charges)</t>
  </si>
  <si>
    <t>Insurance (FOB/CIF risk coverage)</t>
  </si>
  <si>
    <t>CFR</t>
  </si>
  <si>
    <t>CIF</t>
  </si>
  <si>
    <t>DDP</t>
  </si>
  <si>
    <t>Import duties &amp; taxes (Customs + VAT in BDT)</t>
  </si>
  <si>
    <t>Handling charges (Port handling, demurrage)</t>
  </si>
  <si>
    <t>Inland transport (From port to store)</t>
  </si>
  <si>
    <t>Export freight (local)- (From Exwork to Port)</t>
  </si>
  <si>
    <t>DDU/DAP</t>
  </si>
  <si>
    <t>Air Shipment</t>
  </si>
  <si>
    <t>Airport Handling Charges/Kg</t>
  </si>
  <si>
    <t>FCA</t>
  </si>
  <si>
    <t>CPT</t>
  </si>
  <si>
    <t>CIP</t>
  </si>
  <si>
    <t>Road Shipment</t>
  </si>
  <si>
    <t>Road Handling Charges</t>
  </si>
  <si>
    <t xml:space="preserve">International Road freight </t>
  </si>
  <si>
    <t>Origin THC/FCL/LCL-CBMXRate/CBM</t>
  </si>
  <si>
    <t>International freight (Sea/Air charges)- CBMXRate/CBM</t>
  </si>
  <si>
    <t>BDT</t>
  </si>
  <si>
    <t>Cost Factor</t>
  </si>
  <si>
    <t xml:space="preserve">Unit price </t>
  </si>
  <si>
    <t>Unit price with MG</t>
  </si>
  <si>
    <t>MG</t>
  </si>
  <si>
    <t>Unit product Price (USD / EURO / CN)</t>
  </si>
  <si>
    <t>Conversion Rate (USD /  EURO / CN)</t>
  </si>
  <si>
    <t>BDT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</si>
</sst>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u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11" borderId="0" xfId="0" applyFont="1" applyFill="1" applyBorder="1" applyAlignment="1">
      <alignment horizontal="center" vertical="center" wrapText="1"/>
    </xf>
    <xf numFmtId="0" fontId="7" fillId="12" borderId="0" xfId="0" applyFont="1" applyFill="1" applyBorder="1" applyAlignment="1">
      <alignment horizontal="center" vertical="center" wrapText="1"/>
    </xf>
    <xf numFmtId="9" fontId="7" fillId="7" borderId="0" xfId="0" applyNumberFormat="1" applyFont="1" applyFill="1" applyBorder="1" applyAlignment="1">
      <alignment horizontal="center" vertical="center" wrapText="1"/>
    </xf>
    <xf numFmtId="9" fontId="7" fillId="4" borderId="0" xfId="0" applyNumberFormat="1" applyFont="1" applyFill="1" applyBorder="1" applyAlignment="1">
      <alignment horizontal="center" vertical="center" wrapText="1"/>
    </xf>
    <xf numFmtId="9" fontId="7" fillId="10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43" fontId="7" fillId="2" borderId="1" xfId="3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" fontId="7" fillId="7" borderId="0" xfId="0" applyNumberFormat="1" applyFont="1" applyFill="1" applyBorder="1" applyAlignment="1">
      <alignment horizontal="center" vertical="center" wrapText="1"/>
    </xf>
    <xf numFmtId="9" fontId="8" fillId="4" borderId="0" xfId="4" applyFont="1" applyFill="1" applyAlignment="1">
      <alignment horizontal="center" vertical="center" wrapText="1"/>
    </xf>
    <xf numFmtId="9" fontId="8" fillId="2" borderId="0" xfId="4" applyFont="1" applyFill="1" applyAlignment="1">
      <alignment horizontal="center" vertical="center"/>
    </xf>
    <xf numFmtId="9" fontId="7" fillId="12" borderId="0" xfId="4" applyFont="1" applyFill="1" applyBorder="1" applyAlignment="1">
      <alignment horizontal="center" vertical="center" wrapText="1"/>
    </xf>
    <xf numFmtId="2" fontId="8" fillId="2" borderId="0" xfId="4" applyNumberFormat="1" applyFont="1" applyFill="1" applyAlignment="1">
      <alignment horizontal="center" vertical="center"/>
    </xf>
    <xf numFmtId="2" fontId="8" fillId="4" borderId="0" xfId="4" applyNumberFormat="1" applyFont="1" applyFill="1" applyAlignment="1">
      <alignment horizontal="center" vertical="center" wrapText="1"/>
    </xf>
    <xf numFmtId="2" fontId="8" fillId="2" borderId="0" xfId="3" applyNumberFormat="1" applyFont="1" applyFill="1" applyAlignment="1">
      <alignment horizontal="center" vertical="center"/>
    </xf>
    <xf numFmtId="2" fontId="7" fillId="12" borderId="0" xfId="3" applyNumberFormat="1" applyFont="1" applyFill="1" applyBorder="1" applyAlignment="1">
      <alignment horizontal="center" vertical="center" wrapText="1"/>
    </xf>
    <xf numFmtId="0" fontId="8" fillId="2" borderId="0" xfId="4" applyNumberFormat="1" applyFont="1" applyFill="1" applyAlignment="1">
      <alignment horizontal="center" vertical="center"/>
    </xf>
    <xf numFmtId="0" fontId="7" fillId="12" borderId="0" xfId="4" applyNumberFormat="1" applyFont="1" applyFill="1" applyBorder="1" applyAlignment="1">
      <alignment horizontal="center" vertical="center" wrapText="1"/>
    </xf>
    <xf numFmtId="0" fontId="8" fillId="4" borderId="0" xfId="4" applyNumberFormat="1" applyFont="1" applyFill="1" applyAlignment="1">
      <alignment horizontal="center" vertical="center" wrapText="1"/>
    </xf>
    <xf numFmtId="2" fontId="7" fillId="12" borderId="0" xfId="0" applyNumberFormat="1" applyFont="1" applyFill="1" applyBorder="1" applyAlignment="1">
      <alignment horizontal="center" vertical="center" wrapText="1"/>
    </xf>
  </cellXfs>
  <cellStyles count="5">
    <cellStyle name="Comma" xfId="3" builtinId="3"/>
    <cellStyle name="Normal" xfId="0" builtinId="0"/>
    <cellStyle name="Normal 2 4" xfId="2" xr:uid="{00000000-0005-0000-0000-000002000000}"/>
    <cellStyle name="Percent" xfId="4" builtinId="5"/>
    <cellStyle name="Percent 2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BFFE-8A4A-4C58-9DE3-9F97FD105BAF}">
  <dimension ref="A2:S42"/>
  <sheetViews>
    <sheetView tabSelected="1" topLeftCell="A20" zoomScale="76" zoomScaleNormal="70" workbookViewId="0">
      <selection activeCell="D14" sqref="D14"/>
    </sheetView>
  </sheetViews>
  <sheetFormatPr defaultColWidth="28.88671875" defaultRowHeight="13.8" x14ac:dyDescent="0.25"/>
  <cols>
    <col min="1" max="1" width="17.6640625" style="28" bestFit="1" customWidth="1"/>
    <col min="2" max="2" width="20.44140625" style="28" bestFit="1" customWidth="1"/>
    <col min="3" max="3" width="23.77734375" style="28" bestFit="1" customWidth="1"/>
    <col min="4" max="4" width="22.33203125" style="28" bestFit="1" customWidth="1"/>
    <col min="5" max="5" width="28.44140625" style="28" bestFit="1" customWidth="1"/>
    <col min="6" max="6" width="28.21875" style="28" customWidth="1"/>
    <col min="7" max="7" width="28" style="28" bestFit="1" customWidth="1"/>
    <col min="8" max="8" width="27.77734375" style="28" bestFit="1" customWidth="1"/>
    <col min="9" max="9" width="26.6640625" style="28" bestFit="1" customWidth="1"/>
    <col min="10" max="10" width="25" style="28" bestFit="1" customWidth="1"/>
    <col min="11" max="11" width="14" style="28" bestFit="1" customWidth="1"/>
    <col min="12" max="12" width="9.77734375" style="28" bestFit="1" customWidth="1"/>
    <col min="13" max="13" width="15.88671875" style="28" bestFit="1" customWidth="1"/>
    <col min="14" max="14" width="9" style="28" bestFit="1" customWidth="1"/>
    <col min="15" max="15" width="16.109375" style="46" customWidth="1"/>
    <col min="16" max="16" width="6.33203125" style="42" bestFit="1" customWidth="1"/>
    <col min="17" max="17" width="4.21875" style="40" bestFit="1" customWidth="1"/>
    <col min="18" max="18" width="4.44140625" style="40" bestFit="1" customWidth="1"/>
    <col min="19" max="19" width="11.33203125" style="44" bestFit="1" customWidth="1"/>
    <col min="20" max="16384" width="28.88671875" style="28"/>
  </cols>
  <sheetData>
    <row r="2" spans="1:19" x14ac:dyDescent="0.25">
      <c r="A2" s="29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9" ht="41.4" x14ac:dyDescent="0.25">
      <c r="A3" s="5"/>
      <c r="B3" s="5" t="s">
        <v>36</v>
      </c>
      <c r="C3" s="6" t="s">
        <v>19</v>
      </c>
      <c r="D3" s="7" t="s">
        <v>10</v>
      </c>
      <c r="E3" s="7" t="s">
        <v>29</v>
      </c>
      <c r="F3" s="8" t="s">
        <v>30</v>
      </c>
      <c r="G3" s="9" t="s">
        <v>12</v>
      </c>
      <c r="H3" s="10" t="s">
        <v>16</v>
      </c>
      <c r="I3" s="11" t="s">
        <v>17</v>
      </c>
      <c r="J3" s="12" t="s">
        <v>18</v>
      </c>
      <c r="K3" s="24" t="s">
        <v>37</v>
      </c>
      <c r="L3" s="24" t="s">
        <v>32</v>
      </c>
      <c r="M3" s="24" t="s">
        <v>33</v>
      </c>
      <c r="N3" s="24"/>
      <c r="O3" s="47" t="s">
        <v>34</v>
      </c>
      <c r="P3" s="49" t="s">
        <v>35</v>
      </c>
      <c r="Q3" s="41" t="s">
        <v>2</v>
      </c>
      <c r="R3" s="41" t="s">
        <v>1</v>
      </c>
      <c r="S3" s="45" t="s">
        <v>0</v>
      </c>
    </row>
    <row r="4" spans="1:19" x14ac:dyDescent="0.25">
      <c r="A4" s="18"/>
      <c r="B4" s="18"/>
      <c r="C4" s="19"/>
      <c r="D4" s="20"/>
      <c r="E4" s="20">
        <v>15</v>
      </c>
      <c r="F4" s="21">
        <v>20</v>
      </c>
      <c r="G4" s="22"/>
      <c r="H4" s="10">
        <v>2500</v>
      </c>
      <c r="I4" s="23"/>
      <c r="J4" s="24"/>
      <c r="K4" s="24"/>
      <c r="L4" s="24"/>
    </row>
    <row r="5" spans="1:19" x14ac:dyDescent="0.25">
      <c r="A5" s="18"/>
      <c r="B5" s="18"/>
      <c r="C5" s="25">
        <v>0.03</v>
      </c>
      <c r="D5" s="25">
        <v>1.4999999999999999E-2</v>
      </c>
      <c r="E5" s="38">
        <v>10</v>
      </c>
      <c r="F5" s="21">
        <v>50</v>
      </c>
      <c r="G5" s="26">
        <v>1.4999999999999999E-2</v>
      </c>
      <c r="H5" s="27">
        <v>1.1000000000000001</v>
      </c>
      <c r="I5" s="23"/>
      <c r="J5" s="24"/>
      <c r="K5" s="24"/>
      <c r="L5" s="24"/>
    </row>
    <row r="6" spans="1:19" x14ac:dyDescent="0.25">
      <c r="A6" s="30" t="s">
        <v>7</v>
      </c>
      <c r="B6" s="15">
        <v>10000</v>
      </c>
      <c r="C6" s="4"/>
      <c r="D6" s="4"/>
      <c r="E6" s="4"/>
      <c r="F6" s="4"/>
      <c r="G6" s="4"/>
      <c r="H6" s="4"/>
      <c r="I6" s="4"/>
      <c r="J6" s="4"/>
      <c r="K6" s="4"/>
      <c r="L6" s="4"/>
      <c r="M6" s="31">
        <f>B6</f>
        <v>10000</v>
      </c>
      <c r="N6" s="32" t="s">
        <v>7</v>
      </c>
      <c r="O6" s="32">
        <f>(M6+(M6*P6/100))</f>
        <v>13000</v>
      </c>
      <c r="P6" s="43">
        <v>30</v>
      </c>
      <c r="S6" s="32">
        <f>O6</f>
        <v>13000</v>
      </c>
    </row>
    <row r="7" spans="1:19" x14ac:dyDescent="0.25">
      <c r="A7" s="33" t="s">
        <v>9</v>
      </c>
      <c r="B7" s="13">
        <v>10000</v>
      </c>
      <c r="C7" s="13">
        <f>B6*C5</f>
        <v>300</v>
      </c>
      <c r="D7" s="13">
        <f>B6*D5</f>
        <v>150</v>
      </c>
      <c r="E7" s="13">
        <f>E4*E5</f>
        <v>150</v>
      </c>
      <c r="F7" s="4"/>
      <c r="G7" s="4"/>
      <c r="H7" s="4"/>
      <c r="I7" s="4"/>
      <c r="J7" s="4"/>
      <c r="K7" s="4"/>
      <c r="L7" s="4"/>
      <c r="M7" s="31">
        <f>SUM(B7:E7)</f>
        <v>10600</v>
      </c>
      <c r="N7" s="5" t="s">
        <v>9</v>
      </c>
      <c r="O7" s="5">
        <f t="shared" ref="O7:O11" si="0">(M7+(M7*P7/100))</f>
        <v>13780</v>
      </c>
      <c r="P7" s="43">
        <v>30</v>
      </c>
      <c r="S7" s="5">
        <f t="shared" ref="S7:S11" si="1">O7</f>
        <v>13780</v>
      </c>
    </row>
    <row r="8" spans="1:19" x14ac:dyDescent="0.25">
      <c r="A8" s="34" t="s">
        <v>13</v>
      </c>
      <c r="B8" s="14">
        <v>10000</v>
      </c>
      <c r="C8" s="14">
        <f>B6*C5</f>
        <v>300</v>
      </c>
      <c r="D8" s="14">
        <f>B7*D5</f>
        <v>150</v>
      </c>
      <c r="E8" s="14">
        <f>E4*E5</f>
        <v>150</v>
      </c>
      <c r="F8" s="14">
        <f>F4*F5</f>
        <v>1000</v>
      </c>
      <c r="G8" s="4"/>
      <c r="H8" s="4"/>
      <c r="I8" s="4"/>
      <c r="J8" s="4"/>
      <c r="K8" s="4"/>
      <c r="L8" s="4"/>
      <c r="M8" s="31">
        <f>SUM(B8:F8)</f>
        <v>11600</v>
      </c>
      <c r="N8" s="35" t="s">
        <v>13</v>
      </c>
      <c r="O8" s="35">
        <f t="shared" si="0"/>
        <v>15080</v>
      </c>
      <c r="P8" s="43">
        <v>30</v>
      </c>
      <c r="S8" s="35">
        <f t="shared" si="1"/>
        <v>15080</v>
      </c>
    </row>
    <row r="9" spans="1:19" x14ac:dyDescent="0.25">
      <c r="A9" s="30" t="s">
        <v>14</v>
      </c>
      <c r="B9" s="15">
        <v>10000</v>
      </c>
      <c r="C9" s="15">
        <f>B9*C5</f>
        <v>300</v>
      </c>
      <c r="D9" s="15">
        <f>B9*D5</f>
        <v>150</v>
      </c>
      <c r="E9" s="15">
        <f>E4*E5</f>
        <v>150</v>
      </c>
      <c r="F9" s="15">
        <f>F4*F5</f>
        <v>1000</v>
      </c>
      <c r="G9" s="15">
        <f>B9*G5</f>
        <v>150</v>
      </c>
      <c r="H9" s="4"/>
      <c r="I9" s="4"/>
      <c r="J9" s="4"/>
      <c r="K9" s="4"/>
      <c r="L9" s="4"/>
      <c r="M9" s="31">
        <f>SUM(B9:G9)</f>
        <v>11750</v>
      </c>
      <c r="N9" s="32" t="s">
        <v>14</v>
      </c>
      <c r="O9" s="32">
        <f t="shared" si="0"/>
        <v>15275</v>
      </c>
      <c r="P9" s="43">
        <v>30</v>
      </c>
      <c r="S9" s="32">
        <f t="shared" si="1"/>
        <v>15275</v>
      </c>
    </row>
    <row r="10" spans="1:19" x14ac:dyDescent="0.25">
      <c r="A10" s="36" t="s">
        <v>20</v>
      </c>
      <c r="B10" s="16">
        <v>10000</v>
      </c>
      <c r="C10" s="16">
        <f>B9*C5</f>
        <v>300</v>
      </c>
      <c r="D10" s="16">
        <f>B10*D5</f>
        <v>150</v>
      </c>
      <c r="E10" s="16">
        <f>E4*E5</f>
        <v>150</v>
      </c>
      <c r="F10" s="16">
        <f>F4*F5</f>
        <v>1000</v>
      </c>
      <c r="G10" s="16">
        <f>B10*G5</f>
        <v>150</v>
      </c>
      <c r="H10" s="4"/>
      <c r="I10" s="16">
        <v>200</v>
      </c>
      <c r="J10" s="16">
        <v>200</v>
      </c>
      <c r="K10" s="16"/>
      <c r="L10" s="16"/>
      <c r="M10" s="31">
        <f>SUM(B10:G10)+SUM(I10:J10)</f>
        <v>12150</v>
      </c>
      <c r="N10" s="37" t="s">
        <v>20</v>
      </c>
      <c r="O10" s="37">
        <f t="shared" si="0"/>
        <v>15795</v>
      </c>
      <c r="P10" s="43">
        <v>30</v>
      </c>
      <c r="S10" s="37">
        <f t="shared" si="1"/>
        <v>15795</v>
      </c>
    </row>
    <row r="11" spans="1:19" x14ac:dyDescent="0.25">
      <c r="A11" s="29" t="s">
        <v>15</v>
      </c>
      <c r="B11" s="17">
        <v>10000</v>
      </c>
      <c r="C11" s="17">
        <f>B11*C5</f>
        <v>300</v>
      </c>
      <c r="D11" s="17">
        <f>B11*D5</f>
        <v>150</v>
      </c>
      <c r="E11" s="17">
        <f>E4*E5</f>
        <v>150</v>
      </c>
      <c r="F11" s="17">
        <f>F4*F5</f>
        <v>1000</v>
      </c>
      <c r="G11" s="17">
        <f>B11*G5</f>
        <v>150</v>
      </c>
      <c r="H11" s="17">
        <f>H4*H5</f>
        <v>2750</v>
      </c>
      <c r="I11" s="17">
        <v>200</v>
      </c>
      <c r="J11" s="17">
        <v>200</v>
      </c>
      <c r="K11" s="17"/>
      <c r="L11" s="17"/>
      <c r="M11" s="31">
        <f>SUM(B11:J11)</f>
        <v>14900</v>
      </c>
      <c r="N11" s="9" t="s">
        <v>15</v>
      </c>
      <c r="O11" s="9">
        <f t="shared" si="0"/>
        <v>19370</v>
      </c>
      <c r="P11" s="43">
        <v>30</v>
      </c>
      <c r="S11" s="44">
        <f t="shared" si="1"/>
        <v>19370</v>
      </c>
    </row>
    <row r="12" spans="1:19" x14ac:dyDescent="0.25">
      <c r="A12" s="29" t="s">
        <v>31</v>
      </c>
      <c r="B12" s="17">
        <v>10000</v>
      </c>
      <c r="C12" s="17">
        <f>B12*C5</f>
        <v>300</v>
      </c>
      <c r="D12" s="17">
        <f>B12*D5</f>
        <v>150</v>
      </c>
      <c r="E12" s="17">
        <f>E4*E5</f>
        <v>150</v>
      </c>
      <c r="F12" s="17">
        <f>F4*F5</f>
        <v>1000</v>
      </c>
      <c r="G12" s="17">
        <f>B12*G5</f>
        <v>150</v>
      </c>
      <c r="H12" s="17">
        <f>H4*H5</f>
        <v>2750</v>
      </c>
      <c r="I12" s="17">
        <v>200</v>
      </c>
      <c r="J12" s="17">
        <v>200</v>
      </c>
      <c r="K12" s="17">
        <v>125</v>
      </c>
      <c r="L12" s="39">
        <f>SUM(C12:J12)/B12</f>
        <v>0.49</v>
      </c>
      <c r="M12" s="31">
        <f>(B12+(B12*L12))*K12</f>
        <v>1862500</v>
      </c>
      <c r="N12" s="9" t="s">
        <v>31</v>
      </c>
      <c r="O12" s="48">
        <f>(M12+(M12*P12)/100)</f>
        <v>2421250</v>
      </c>
      <c r="P12" s="43">
        <v>30</v>
      </c>
      <c r="Q12" s="39">
        <v>0.05</v>
      </c>
      <c r="R12" s="39">
        <v>0.1</v>
      </c>
      <c r="S12" s="43">
        <f>ROUNDUP(O12+ O12*(Q12+R12),0)</f>
        <v>2784438</v>
      </c>
    </row>
    <row r="13" spans="1:19" x14ac:dyDescent="0.25">
      <c r="A13" s="29" t="s">
        <v>38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39"/>
      <c r="M13" s="31">
        <v>1831250</v>
      </c>
      <c r="N13" s="9" t="s">
        <v>31</v>
      </c>
      <c r="O13" s="48">
        <f>(M13+(M13*P13)/100)</f>
        <v>2380625</v>
      </c>
      <c r="P13" s="43">
        <v>30</v>
      </c>
      <c r="Q13" s="39">
        <v>0.05</v>
      </c>
      <c r="R13" s="39">
        <v>0.1</v>
      </c>
      <c r="S13" s="43">
        <f>ROUNDUP(O13+ O13*(Q13+R13),0)</f>
        <v>2737719</v>
      </c>
    </row>
    <row r="14" spans="1: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9" x14ac:dyDescent="0.25">
      <c r="A16" s="29" t="s">
        <v>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9" ht="27.6" x14ac:dyDescent="0.25">
      <c r="A17" s="5"/>
      <c r="B17" s="5" t="s">
        <v>8</v>
      </c>
      <c r="C17" s="6" t="s">
        <v>19</v>
      </c>
      <c r="D17" s="7" t="s">
        <v>10</v>
      </c>
      <c r="E17" s="7" t="s">
        <v>22</v>
      </c>
      <c r="F17" s="8" t="s">
        <v>11</v>
      </c>
      <c r="G17" s="9" t="s">
        <v>12</v>
      </c>
      <c r="H17" s="10" t="s">
        <v>16</v>
      </c>
      <c r="I17" s="11" t="s">
        <v>17</v>
      </c>
      <c r="J17" s="12" t="s">
        <v>18</v>
      </c>
      <c r="K17" s="24"/>
      <c r="L17" s="24"/>
    </row>
    <row r="18" spans="1:19" x14ac:dyDescent="0.25">
      <c r="A18" s="18"/>
      <c r="B18" s="18"/>
      <c r="C18" s="19"/>
      <c r="D18" s="20"/>
      <c r="E18" s="20">
        <v>15</v>
      </c>
      <c r="F18" s="21">
        <v>15</v>
      </c>
      <c r="G18" s="22"/>
      <c r="H18" s="10">
        <v>2500</v>
      </c>
      <c r="I18" s="23"/>
      <c r="J18" s="24"/>
      <c r="K18" s="24"/>
      <c r="L18" s="24"/>
    </row>
    <row r="19" spans="1:19" x14ac:dyDescent="0.25">
      <c r="A19" s="18"/>
      <c r="B19" s="18"/>
      <c r="C19" s="25">
        <v>0.03</v>
      </c>
      <c r="D19" s="25">
        <v>1.4999999999999999E-2</v>
      </c>
      <c r="E19" s="38">
        <v>10</v>
      </c>
      <c r="F19" s="21">
        <v>50</v>
      </c>
      <c r="G19" s="26">
        <v>1.4999999999999999E-2</v>
      </c>
      <c r="H19" s="27">
        <v>1.1000000000000001</v>
      </c>
      <c r="I19" s="23"/>
      <c r="J19" s="24"/>
      <c r="K19" s="24"/>
      <c r="L19" s="24"/>
    </row>
    <row r="20" spans="1:19" x14ac:dyDescent="0.25">
      <c r="A20" s="30" t="s">
        <v>7</v>
      </c>
      <c r="B20" s="15">
        <v>10000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31">
        <f>B20</f>
        <v>10000</v>
      </c>
      <c r="N20" s="32" t="s">
        <v>7</v>
      </c>
      <c r="O20" s="32">
        <f>(M20+(M20*P20/100))</f>
        <v>13000</v>
      </c>
      <c r="P20" s="43">
        <v>30</v>
      </c>
      <c r="S20" s="32">
        <f>O20</f>
        <v>13000</v>
      </c>
    </row>
    <row r="21" spans="1:19" x14ac:dyDescent="0.25">
      <c r="A21" s="33" t="s">
        <v>23</v>
      </c>
      <c r="B21" s="13">
        <v>10000</v>
      </c>
      <c r="C21" s="13">
        <f>B20*C19</f>
        <v>300</v>
      </c>
      <c r="D21" s="13">
        <f>B20*D19</f>
        <v>150</v>
      </c>
      <c r="E21" s="13">
        <f>E18*E19</f>
        <v>150</v>
      </c>
      <c r="F21" s="4"/>
      <c r="G21" s="4"/>
      <c r="H21" s="4"/>
      <c r="I21" s="4"/>
      <c r="J21" s="4"/>
      <c r="K21" s="4"/>
      <c r="L21" s="4"/>
      <c r="M21" s="31">
        <f>SUM(B21:E21)</f>
        <v>10600</v>
      </c>
      <c r="N21" s="5" t="s">
        <v>9</v>
      </c>
      <c r="O21" s="5">
        <f t="shared" ref="O21:O25" si="2">(M21+(M21*P21/100))</f>
        <v>13780</v>
      </c>
      <c r="P21" s="43">
        <v>30</v>
      </c>
      <c r="S21" s="5">
        <f t="shared" ref="S21:S25" si="3">O21</f>
        <v>13780</v>
      </c>
    </row>
    <row r="22" spans="1:19" x14ac:dyDescent="0.25">
      <c r="A22" s="34" t="s">
        <v>24</v>
      </c>
      <c r="B22" s="14">
        <v>10000</v>
      </c>
      <c r="C22" s="14">
        <f>B20*C19</f>
        <v>300</v>
      </c>
      <c r="D22" s="14">
        <f>B21*D19</f>
        <v>150</v>
      </c>
      <c r="E22" s="14">
        <f>E18*E19</f>
        <v>150</v>
      </c>
      <c r="F22" s="14">
        <f>F18*F19</f>
        <v>750</v>
      </c>
      <c r="G22" s="4"/>
      <c r="H22" s="4"/>
      <c r="I22" s="4"/>
      <c r="J22" s="4"/>
      <c r="K22" s="4"/>
      <c r="L22" s="4"/>
      <c r="M22" s="31">
        <f>SUM(B22:F22)</f>
        <v>11350</v>
      </c>
      <c r="N22" s="35" t="s">
        <v>13</v>
      </c>
      <c r="O22" s="35">
        <f t="shared" si="2"/>
        <v>14755</v>
      </c>
      <c r="P22" s="43">
        <v>30</v>
      </c>
      <c r="S22" s="35">
        <f t="shared" si="3"/>
        <v>14755</v>
      </c>
    </row>
    <row r="23" spans="1:19" x14ac:dyDescent="0.25">
      <c r="A23" s="30" t="s">
        <v>25</v>
      </c>
      <c r="B23" s="15">
        <v>10000</v>
      </c>
      <c r="C23" s="15">
        <f>B23*C19</f>
        <v>300</v>
      </c>
      <c r="D23" s="15">
        <f>B23*D19</f>
        <v>150</v>
      </c>
      <c r="E23" s="15">
        <f>E18*E19</f>
        <v>150</v>
      </c>
      <c r="F23" s="15">
        <f>F18*F19</f>
        <v>750</v>
      </c>
      <c r="G23" s="15">
        <f>B23*G19</f>
        <v>150</v>
      </c>
      <c r="H23" s="4"/>
      <c r="I23" s="4"/>
      <c r="J23" s="4"/>
      <c r="K23" s="4"/>
      <c r="L23" s="4"/>
      <c r="M23" s="31">
        <f>SUM(B23:G23)</f>
        <v>11500</v>
      </c>
      <c r="N23" s="32" t="s">
        <v>14</v>
      </c>
      <c r="O23" s="32">
        <f t="shared" si="2"/>
        <v>14950</v>
      </c>
      <c r="P23" s="43">
        <v>30</v>
      </c>
      <c r="S23" s="32">
        <f t="shared" si="3"/>
        <v>14950</v>
      </c>
    </row>
    <row r="24" spans="1:19" x14ac:dyDescent="0.25">
      <c r="A24" s="36" t="s">
        <v>20</v>
      </c>
      <c r="B24" s="16">
        <v>10000</v>
      </c>
      <c r="C24" s="16">
        <f>B23*C19</f>
        <v>300</v>
      </c>
      <c r="D24" s="16">
        <f>B24*D19</f>
        <v>150</v>
      </c>
      <c r="E24" s="16">
        <f>E18*E19</f>
        <v>150</v>
      </c>
      <c r="F24" s="16">
        <f>F18*F19</f>
        <v>750</v>
      </c>
      <c r="G24" s="16">
        <f>B24*G19</f>
        <v>150</v>
      </c>
      <c r="H24" s="4"/>
      <c r="I24" s="16">
        <v>200</v>
      </c>
      <c r="J24" s="16">
        <v>200</v>
      </c>
      <c r="K24" s="16"/>
      <c r="L24" s="16"/>
      <c r="M24" s="31">
        <f>SUM(B24:G24)+SUM(I24:J24)</f>
        <v>11900</v>
      </c>
      <c r="N24" s="37" t="s">
        <v>20</v>
      </c>
      <c r="O24" s="37">
        <f t="shared" si="2"/>
        <v>15470</v>
      </c>
      <c r="P24" s="43">
        <v>30</v>
      </c>
      <c r="S24" s="37">
        <f t="shared" si="3"/>
        <v>15470</v>
      </c>
    </row>
    <row r="25" spans="1:19" x14ac:dyDescent="0.25">
      <c r="A25" s="29" t="s">
        <v>15</v>
      </c>
      <c r="B25" s="17">
        <v>10000</v>
      </c>
      <c r="C25" s="17">
        <f>B25*C19</f>
        <v>300</v>
      </c>
      <c r="D25" s="17">
        <f>B25*D19</f>
        <v>150</v>
      </c>
      <c r="E25" s="17">
        <f>E18*E19</f>
        <v>150</v>
      </c>
      <c r="F25" s="17">
        <f>F18*F19</f>
        <v>750</v>
      </c>
      <c r="G25" s="17">
        <f>B25*G19</f>
        <v>150</v>
      </c>
      <c r="H25" s="17">
        <f>H18*H19</f>
        <v>2750</v>
      </c>
      <c r="I25" s="17">
        <v>200</v>
      </c>
      <c r="J25" s="17">
        <v>200</v>
      </c>
      <c r="K25" s="17"/>
      <c r="L25" s="17"/>
      <c r="M25" s="31">
        <f>SUM(B25:J25)</f>
        <v>14650</v>
      </c>
      <c r="N25" s="9" t="s">
        <v>15</v>
      </c>
      <c r="O25" s="9">
        <f t="shared" si="2"/>
        <v>19045</v>
      </c>
      <c r="P25" s="43">
        <v>30</v>
      </c>
      <c r="S25" s="44">
        <f t="shared" si="3"/>
        <v>19045</v>
      </c>
    </row>
    <row r="26" spans="1:19" x14ac:dyDescent="0.25">
      <c r="A26" s="29" t="s">
        <v>31</v>
      </c>
      <c r="B26" s="17">
        <v>10000</v>
      </c>
      <c r="C26" s="17">
        <f>B26*C19</f>
        <v>300</v>
      </c>
      <c r="D26" s="17">
        <f>B26*D19</f>
        <v>150</v>
      </c>
      <c r="E26" s="17">
        <f>E18*E19</f>
        <v>150</v>
      </c>
      <c r="F26" s="17">
        <f>F18*F19</f>
        <v>750</v>
      </c>
      <c r="G26" s="17">
        <f>B26*G19</f>
        <v>150</v>
      </c>
      <c r="H26" s="17">
        <f>H18*H19</f>
        <v>2750</v>
      </c>
      <c r="I26" s="17">
        <v>200</v>
      </c>
      <c r="J26" s="17">
        <v>200</v>
      </c>
      <c r="K26" s="17">
        <v>125</v>
      </c>
      <c r="L26" s="39">
        <f>SUM(C26:J26)/B26</f>
        <v>0.46500000000000002</v>
      </c>
      <c r="M26" s="31">
        <f>(B26+(B26*L26))*K26</f>
        <v>1831250</v>
      </c>
      <c r="N26" s="9" t="s">
        <v>31</v>
      </c>
      <c r="O26" s="48">
        <f>(M26+(M26*P26)/100)</f>
        <v>2380625</v>
      </c>
      <c r="P26" s="43">
        <v>30</v>
      </c>
      <c r="Q26" s="39">
        <v>0.05</v>
      </c>
      <c r="R26" s="39">
        <v>0.1</v>
      </c>
      <c r="S26" s="43">
        <f>ROUNDUP(O26+ O26*(Q26+R26),0)</f>
        <v>2737719</v>
      </c>
    </row>
    <row r="27" spans="1:19" x14ac:dyDescent="0.25">
      <c r="A27" s="29" t="s">
        <v>38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39"/>
      <c r="M27" s="31">
        <v>1831250</v>
      </c>
      <c r="N27" s="9" t="s">
        <v>31</v>
      </c>
      <c r="O27" s="48">
        <f>(M27+(M27*P27)/100)</f>
        <v>2380625</v>
      </c>
      <c r="P27" s="43">
        <v>30</v>
      </c>
      <c r="Q27" s="39">
        <v>0.05</v>
      </c>
      <c r="R27" s="39">
        <v>0.1</v>
      </c>
      <c r="S27" s="43">
        <f>ROUNDUP(O27+ O27*(Q27+R27),0)</f>
        <v>2737719</v>
      </c>
    </row>
    <row r="28" spans="1:1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9" x14ac:dyDescent="0.25">
      <c r="A31" s="29" t="s">
        <v>26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9" ht="27.6" x14ac:dyDescent="0.25">
      <c r="A32" s="5"/>
      <c r="B32" s="5" t="s">
        <v>8</v>
      </c>
      <c r="C32" s="6" t="s">
        <v>19</v>
      </c>
      <c r="D32" s="7" t="s">
        <v>10</v>
      </c>
      <c r="E32" s="7" t="s">
        <v>27</v>
      </c>
      <c r="F32" s="8" t="s">
        <v>28</v>
      </c>
      <c r="G32" s="9" t="s">
        <v>12</v>
      </c>
      <c r="H32" s="10" t="s">
        <v>16</v>
      </c>
      <c r="I32" s="11" t="s">
        <v>17</v>
      </c>
      <c r="J32" s="12" t="s">
        <v>18</v>
      </c>
      <c r="K32" s="24"/>
      <c r="L32" s="24"/>
    </row>
    <row r="33" spans="1:19" x14ac:dyDescent="0.25">
      <c r="A33" s="18"/>
      <c r="B33" s="18"/>
      <c r="C33" s="19"/>
      <c r="D33" s="20"/>
      <c r="E33" s="20">
        <v>15</v>
      </c>
      <c r="F33" s="21">
        <v>15</v>
      </c>
      <c r="G33" s="22"/>
      <c r="H33" s="10">
        <v>2500</v>
      </c>
      <c r="I33" s="23"/>
      <c r="J33" s="24"/>
      <c r="K33" s="24"/>
      <c r="L33" s="24"/>
    </row>
    <row r="34" spans="1:19" x14ac:dyDescent="0.25">
      <c r="A34" s="18"/>
      <c r="B34" s="18"/>
      <c r="C34" s="25">
        <v>0.03</v>
      </c>
      <c r="D34" s="25">
        <v>1.4999999999999999E-2</v>
      </c>
      <c r="E34" s="38">
        <v>10</v>
      </c>
      <c r="F34" s="21">
        <v>50</v>
      </c>
      <c r="G34" s="26">
        <v>1.4999999999999999E-2</v>
      </c>
      <c r="H34" s="27">
        <v>1.1000000000000001</v>
      </c>
      <c r="I34" s="23"/>
      <c r="J34" s="24"/>
      <c r="K34" s="24"/>
      <c r="L34" s="24"/>
    </row>
    <row r="35" spans="1:19" x14ac:dyDescent="0.25">
      <c r="A35" s="30" t="s">
        <v>7</v>
      </c>
      <c r="B35" s="15">
        <v>10000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31">
        <f>B35</f>
        <v>10000</v>
      </c>
      <c r="N35" s="32" t="s">
        <v>7</v>
      </c>
      <c r="O35" s="32">
        <f>(M35+(M35*P35/100))</f>
        <v>13000</v>
      </c>
      <c r="P35" s="43">
        <v>30</v>
      </c>
      <c r="S35" s="32">
        <f>O35</f>
        <v>13000</v>
      </c>
    </row>
    <row r="36" spans="1:19" x14ac:dyDescent="0.25">
      <c r="A36" s="33" t="s">
        <v>23</v>
      </c>
      <c r="B36" s="13">
        <v>10000</v>
      </c>
      <c r="C36" s="13">
        <f>B35*C34</f>
        <v>300</v>
      </c>
      <c r="D36" s="13">
        <f>B35*D34</f>
        <v>150</v>
      </c>
      <c r="E36" s="13">
        <f>E33*E34</f>
        <v>150</v>
      </c>
      <c r="F36" s="4"/>
      <c r="G36" s="4"/>
      <c r="H36" s="4"/>
      <c r="I36" s="4"/>
      <c r="J36" s="4"/>
      <c r="K36" s="4"/>
      <c r="L36" s="4"/>
      <c r="M36" s="31">
        <f>SUM(B36:E36)</f>
        <v>10600</v>
      </c>
      <c r="N36" s="5" t="s">
        <v>9</v>
      </c>
      <c r="O36" s="5">
        <f t="shared" ref="O36:O40" si="4">(M36+(M36*P36/100))</f>
        <v>13780</v>
      </c>
      <c r="P36" s="43">
        <v>30</v>
      </c>
      <c r="S36" s="5">
        <f t="shared" ref="S36:S40" si="5">O36</f>
        <v>13780</v>
      </c>
    </row>
    <row r="37" spans="1:19" x14ac:dyDescent="0.25">
      <c r="A37" s="34" t="s">
        <v>24</v>
      </c>
      <c r="B37" s="14">
        <v>10000</v>
      </c>
      <c r="C37" s="14">
        <f>B35*C34</f>
        <v>300</v>
      </c>
      <c r="D37" s="14">
        <f>B36*D34</f>
        <v>150</v>
      </c>
      <c r="E37" s="14">
        <f>E33*E34</f>
        <v>150</v>
      </c>
      <c r="F37" s="14">
        <f>F33*F34</f>
        <v>750</v>
      </c>
      <c r="G37" s="4"/>
      <c r="H37" s="4"/>
      <c r="I37" s="4"/>
      <c r="J37" s="4"/>
      <c r="K37" s="4"/>
      <c r="L37" s="4"/>
      <c r="M37" s="31">
        <f>SUM(B37:F37)</f>
        <v>11350</v>
      </c>
      <c r="N37" s="35" t="s">
        <v>13</v>
      </c>
      <c r="O37" s="35">
        <f t="shared" si="4"/>
        <v>14755</v>
      </c>
      <c r="P37" s="43">
        <v>30</v>
      </c>
      <c r="S37" s="35">
        <f t="shared" si="5"/>
        <v>14755</v>
      </c>
    </row>
    <row r="38" spans="1:19" x14ac:dyDescent="0.25">
      <c r="A38" s="30" t="s">
        <v>25</v>
      </c>
      <c r="B38" s="15">
        <v>10000</v>
      </c>
      <c r="C38" s="15">
        <f>B38*C34</f>
        <v>300</v>
      </c>
      <c r="D38" s="15">
        <f>B38*D34</f>
        <v>150</v>
      </c>
      <c r="E38" s="15">
        <f>E33*E34</f>
        <v>150</v>
      </c>
      <c r="F38" s="15">
        <f>F33*F34</f>
        <v>750</v>
      </c>
      <c r="G38" s="15">
        <f>B38*G34</f>
        <v>150</v>
      </c>
      <c r="H38" s="4"/>
      <c r="I38" s="4"/>
      <c r="J38" s="4"/>
      <c r="K38" s="4"/>
      <c r="L38" s="4"/>
      <c r="M38" s="31">
        <f>SUM(B38:G38)</f>
        <v>11500</v>
      </c>
      <c r="N38" s="32" t="s">
        <v>14</v>
      </c>
      <c r="O38" s="32">
        <f t="shared" si="4"/>
        <v>14950</v>
      </c>
      <c r="P38" s="43">
        <v>30</v>
      </c>
      <c r="S38" s="32">
        <f t="shared" si="5"/>
        <v>14950</v>
      </c>
    </row>
    <row r="39" spans="1:19" x14ac:dyDescent="0.25">
      <c r="A39" s="36" t="s">
        <v>20</v>
      </c>
      <c r="B39" s="16">
        <v>10000</v>
      </c>
      <c r="C39" s="16">
        <f>B38*C34</f>
        <v>300</v>
      </c>
      <c r="D39" s="16">
        <f>B39*D34</f>
        <v>150</v>
      </c>
      <c r="E39" s="16">
        <f>E33*E34</f>
        <v>150</v>
      </c>
      <c r="F39" s="16">
        <f>F33*F34</f>
        <v>750</v>
      </c>
      <c r="G39" s="16">
        <f>B39*G34</f>
        <v>150</v>
      </c>
      <c r="H39" s="4"/>
      <c r="I39" s="16">
        <v>200</v>
      </c>
      <c r="J39" s="16">
        <v>200</v>
      </c>
      <c r="K39" s="16"/>
      <c r="L39" s="16"/>
      <c r="M39" s="31">
        <f>SUM(B39:G39)+SUM(I39:J39)</f>
        <v>11900</v>
      </c>
      <c r="N39" s="37" t="s">
        <v>20</v>
      </c>
      <c r="O39" s="37">
        <f t="shared" si="4"/>
        <v>15470</v>
      </c>
      <c r="P39" s="43">
        <v>30</v>
      </c>
      <c r="S39" s="37">
        <f t="shared" si="5"/>
        <v>15470</v>
      </c>
    </row>
    <row r="40" spans="1:19" x14ac:dyDescent="0.25">
      <c r="A40" s="29" t="s">
        <v>15</v>
      </c>
      <c r="B40" s="17">
        <v>10000</v>
      </c>
      <c r="C40" s="17">
        <f>B40*C34</f>
        <v>300</v>
      </c>
      <c r="D40" s="17">
        <f>B40*D34</f>
        <v>150</v>
      </c>
      <c r="E40" s="17">
        <f>E33*E34</f>
        <v>150</v>
      </c>
      <c r="F40" s="17">
        <f>F33*F34</f>
        <v>750</v>
      </c>
      <c r="G40" s="17">
        <f>B40*G34</f>
        <v>150</v>
      </c>
      <c r="H40" s="17">
        <f>H33*H34</f>
        <v>2750</v>
      </c>
      <c r="I40" s="17">
        <v>200</v>
      </c>
      <c r="J40" s="17">
        <v>200</v>
      </c>
      <c r="K40" s="17"/>
      <c r="L40" s="17"/>
      <c r="M40" s="31">
        <f>SUM(B40:J40)</f>
        <v>14650</v>
      </c>
      <c r="N40" s="9" t="s">
        <v>15</v>
      </c>
      <c r="O40" s="9">
        <f t="shared" si="4"/>
        <v>19045</v>
      </c>
      <c r="P40" s="43">
        <v>30</v>
      </c>
      <c r="S40" s="44">
        <f t="shared" si="5"/>
        <v>19045</v>
      </c>
    </row>
    <row r="41" spans="1:19" x14ac:dyDescent="0.25">
      <c r="A41" s="29" t="s">
        <v>31</v>
      </c>
      <c r="B41" s="17">
        <v>10000</v>
      </c>
      <c r="C41" s="17">
        <f>B41*C34</f>
        <v>300</v>
      </c>
      <c r="D41" s="17">
        <f>B41*D34</f>
        <v>150</v>
      </c>
      <c r="E41" s="17">
        <f>E33*E34</f>
        <v>150</v>
      </c>
      <c r="F41" s="17">
        <f>F33*F34</f>
        <v>750</v>
      </c>
      <c r="G41" s="17">
        <f>B41*G34</f>
        <v>150</v>
      </c>
      <c r="H41" s="17">
        <f>H33*H34</f>
        <v>2750</v>
      </c>
      <c r="I41" s="17">
        <v>200</v>
      </c>
      <c r="J41" s="17">
        <v>200</v>
      </c>
      <c r="K41" s="17">
        <v>125</v>
      </c>
      <c r="L41" s="39">
        <f>SUM(C41:J41)/B41</f>
        <v>0.46500000000000002</v>
      </c>
      <c r="M41" s="31">
        <f>(B41+(B41*L41))*K41</f>
        <v>1831250</v>
      </c>
      <c r="N41" s="9" t="s">
        <v>31</v>
      </c>
      <c r="O41" s="48">
        <f>(M41+(M41*P41)/100)</f>
        <v>2380625</v>
      </c>
      <c r="P41" s="43">
        <v>30</v>
      </c>
      <c r="Q41" s="39">
        <v>0.05</v>
      </c>
      <c r="R41" s="39">
        <v>0.1</v>
      </c>
      <c r="S41" s="43">
        <f>ROUNDUP(O41+ O41*(Q41+R41),0)</f>
        <v>2737719</v>
      </c>
    </row>
    <row r="42" spans="1:19" x14ac:dyDescent="0.25">
      <c r="A42" s="29" t="s">
        <v>38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39"/>
      <c r="M42" s="31">
        <v>1831250</v>
      </c>
      <c r="N42" s="9" t="s">
        <v>31</v>
      </c>
      <c r="O42" s="48">
        <f>(M42+(M42*P42)/100)</f>
        <v>2380625</v>
      </c>
      <c r="P42" s="43">
        <v>30</v>
      </c>
      <c r="Q42" s="39">
        <v>0.05</v>
      </c>
      <c r="R42" s="39">
        <v>0.1</v>
      </c>
      <c r="S42" s="43">
        <f>ROUNDUP(O42+ O42*(Q42+R42),0)</f>
        <v>2737719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6C5A-0CAA-47C2-8682-FDF58C3B3112}">
  <dimension ref="B8:B12"/>
  <sheetViews>
    <sheetView topLeftCell="A9" workbookViewId="0">
      <selection activeCell="B11" sqref="B11"/>
    </sheetView>
  </sheetViews>
  <sheetFormatPr defaultRowHeight="13.2" x14ac:dyDescent="0.25"/>
  <cols>
    <col min="1" max="1" width="8.88671875" style="1"/>
    <col min="2" max="2" width="71.44140625" style="1" customWidth="1"/>
    <col min="3" max="16384" width="8.88671875" style="1"/>
  </cols>
  <sheetData>
    <row r="8" spans="2:2" ht="79.2" x14ac:dyDescent="0.25">
      <c r="B8" s="2" t="s">
        <v>5</v>
      </c>
    </row>
    <row r="11" spans="2:2" ht="132" x14ac:dyDescent="0.25">
      <c r="B11" s="3" t="s">
        <v>4</v>
      </c>
    </row>
    <row r="12" spans="2:2" ht="132" x14ac:dyDescent="0.25">
      <c r="B12" s="3" t="s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Terms </vt:lpstr>
    </vt:vector>
  </TitlesOfParts>
  <Company>ASICT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ASICT</dc:creator>
  <cp:lastModifiedBy>Abdullah</cp:lastModifiedBy>
  <cp:lastPrinted>2014-09-22T11:12:15Z</cp:lastPrinted>
  <dcterms:created xsi:type="dcterms:W3CDTF">2008-04-28T11:18:05Z</dcterms:created>
  <dcterms:modified xsi:type="dcterms:W3CDTF">2025-12-30T10:57:14Z</dcterms:modified>
</cp:coreProperties>
</file>